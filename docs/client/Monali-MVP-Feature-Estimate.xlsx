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55e84d13a34e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VP Overview" sheetId="1" r:id="Rfdfe13117a7a42be"/>
    <x:sheet xmlns:r="http://schemas.openxmlformats.org/officeDocument/2006/relationships" name="Feature Estimate" sheetId="2" r:id="Rb663fd6103bb41dd"/>
    <x:sheet xmlns:r="http://schemas.openxmlformats.org/officeDocument/2006/relationships" name="Milestones" sheetId="3" r:id="Rf64bf50a04d94696"/>
    <x:sheet xmlns:r="http://schemas.openxmlformats.org/officeDocument/2006/relationships" name="Assumptions" sheetId="4" r:id="R0b6325f1bbf44c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8"/>
      <x:color rgb="14213D"/>
      <x:name val="Carlito"/>
    </x:font>
    <x:font>
      <x:i/>
      <x:sz val="10"/>
      <x:color rgb="6B7280"/>
      <x:name val="Carlito"/>
    </x:font>
    <x:font>
      <x:b/>
      <x:sz val="11"/>
      <x:color rgb="FFFFFF"/>
      <x:name val="Carlito"/>
    </x:font>
    <x:font>
      <x:i/>
      <x:sz val="11"/>
      <x:color rgb="1F2937"/>
      <x:name val="Carlito"/>
    </x:font>
    <x:font>
      <x:b/>
      <x:sz val="11"/>
      <x:color rgb="14213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7F3EA"/>
      </x:patternFill>
    </x:fill>
    <x:fill>
      <x:patternFill patternType="solid">
        <x:fgColor rgb="14213D"/>
      </x:patternFill>
    </x:fill>
    <x:fill>
      <x:patternFill patternType="solid">
        <x:fgColor rgb="EEE8DA"/>
      </x:patternFill>
    </x:fill>
    <x:fill>
      <x:patternFill patternType="solid">
        <x:fgColor rgb="3D5A40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dc06a384994130" /><Relationship Type="http://schemas.openxmlformats.org/officeDocument/2006/relationships/theme" Target="/xl/theme/theme1.xml" Id="R19b5e9fc31474f4c" /><Relationship Type="http://schemas.openxmlformats.org/officeDocument/2006/relationships/sharedStrings" Target="/xl/sharedStrings.xml" Id="R98bdebfdcf374fe1" /><Relationship Type="http://schemas.openxmlformats.org/officeDocument/2006/relationships/worksheet" Target="/xl/worksheets/sheet1.xml" Id="Rfdfe13117a7a42be" /><Relationship Type="http://schemas.openxmlformats.org/officeDocument/2006/relationships/worksheet" Target="/xl/worksheets/sheet2.xml" Id="Rb663fd6103bb41dd" /><Relationship Type="http://schemas.openxmlformats.org/officeDocument/2006/relationships/worksheet" Target="/xl/worksheets/sheet3.xml" Id="Rf64bf50a04d94696" /><Relationship Type="http://schemas.openxmlformats.org/officeDocument/2006/relationships/worksheet" Target="/xl/worksheets/sheet4.xml" Id="R0b6325f1bbf44c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4e6c001771a4a2e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Average Hours</c:v>
          </c:tx>
          <c:cat>
            <c:strRef>
              <c:f>'MVP Overview'!$A$15:$A$19</c:f>
              <c:strCache>
                <c:ptCount val="0"/>
              </c:strCache>
            </c:strRef>
          </c:cat>
          <c:val>
            <c:numRef>
              <c:f>'MVP Overview'!$F$15:$F$19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e6c001771a4a2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MvpSummaryTable" displayName="MvpSummaryTable" ref="A4:D11" headerRowCount="1">
  <x:tableColumns count="4">
    <x:tableColumn id="1" name="KPI"/>
    <x:tableColumn id="2" name="Value"/>
    <x:tableColumn id="3" name="Notes"/>
    <x:tableColumn id="4" name="Formula / Source"/>
  </x:tableColumns>
  <x:tableStyleInfo name="TableStyleMedium2" showRowStripes="1"/>
</x:table>
</file>

<file path=xl/tables/table2.xml><?xml version="1.0" encoding="utf-8"?>
<x:table xmlns:x="http://schemas.openxmlformats.org/spreadsheetml/2006/main" id="1" name="FeatureEstimateTable" displayName="FeatureEstimateTable" ref="A4:J23" headerRowCount="1">
  <x:tableColumns count="10">
    <x:tableColumn id="1" name="Area"/>
    <x:tableColumn id="2" name="Feature"/>
    <x:tableColumn id="3" name="Description"/>
    <x:tableColumn id="4" name="Priority"/>
    <x:tableColumn id="5" name="Phase"/>
    <x:tableColumn id="6" name="Deliverable"/>
    <x:tableColumn id="7" name="Min Hours"/>
    <x:tableColumn id="8" name="Max Hours"/>
    <x:tableColumn id="9" name="Avg Hours"/>
    <x:tableColumn id="10" name="Notes"/>
  </x:tableColumns>
  <x:tableStyleInfo name="TableStyleMedium2" showRowStripes="1"/>
</x:table>
</file>

<file path=xl/tables/table3.xml><?xml version="1.0" encoding="utf-8"?>
<x:table xmlns:x="http://schemas.openxmlformats.org/spreadsheetml/2006/main" id="2" name="MilestoneTable" displayName="MilestoneTable" ref="A4:G9" headerRowCount="1">
  <x:tableColumns count="7">
    <x:tableColumn id="1" name="Milestone"/>
    <x:tableColumn id="2" name="Scope"/>
    <x:tableColumn id="3" name="Main Deliverable"/>
    <x:tableColumn id="4" name="Min Hours"/>
    <x:tableColumn id="5" name="Max Hours"/>
    <x:tableColumn id="6" name="Avg Hours"/>
    <x:tableColumn id="7" name="Indicative Duration"/>
  </x:tableColumns>
  <x:tableStyleInfo name="TableStyleMedium2" showRowStripes="1"/>
</x:table>
</file>

<file path=xl/tables/table4.xml><?xml version="1.0" encoding="utf-8"?>
<x:table xmlns:x="http://schemas.openxmlformats.org/spreadsheetml/2006/main" id="4" name="AssumptionsTable" displayName="AssumptionsTable" ref="A4:C11" headerRowCount="1">
  <x:tableColumns count="3">
    <x:tableColumn id="1" name="Category"/>
    <x:tableColumn id="2" name="Included in MVP"/>
    <x:tableColumn id="3" name="Held for Lat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08c916855984e9e" /><Relationship Type="http://schemas.openxmlformats.org/officeDocument/2006/relationships/table" Target="/xl/tables/table1.xml" Id="R868108a79a5f49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9e9c7d116fa48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1047529854a45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3ecfa378cda456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8" hidden="0" customWidth="1"/>
    <x:col min="4" max="4" width="11" hidden="0" customWidth="1"/>
    <x:col min="5" max="5" width="11" hidden="0" customWidth="1"/>
    <x:col min="6" max="6" width="11" hidden="0" customWidth="1"/>
    <x:col min="7" max="7" width="17" hidden="0" customWidth="1"/>
  </x:cols>
  <x:sheetData>
    <x:row r="1" ht="28" customHeight="1">
      <x:c r="A1" s="4" t="str">
        <x:v>MVP Summary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2" customHeight="1">
      <x:c r="A2" s="8" t="str">
        <x:v>AI-assisted property development concept platform - recommended first release.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>
      <x:c r="A4" s="46" t="str">
        <x:v>KPI</x:v>
      </x:c>
      <x:c r="B4" s="46" t="str">
        <x:v>Value</x:v>
      </x:c>
      <x:c r="C4" s="46" t="str">
        <x:v>Notes</x:v>
      </x:c>
      <x:c r="D4" s="46" t="str">
        <x:v>Formula / Source</x:v>
      </x:c>
      <x:c r="E4" s="22"/>
      <x:c r="F4" s="22"/>
      <x:c r="G4" s="22"/>
    </x:row>
    <x:row r="5">
      <x:c r="A5" s="22" t="str">
        <x:v>Recommended MVP</x:v>
      </x:c>
      <x:c r="B5" s="22" t="str">
        <x:v>Single Stand AI Concept Generator</x:v>
      </x:c>
      <x:c r="C5" s="22" t="str">
        <x:v>Start with one real pilot use case, then expand to estate mode.</x:v>
      </x:c>
      <x:c r="D5" s="22" t="str"/>
      <x:c r="E5" s="22"/>
      <x:c r="F5" s="22"/>
      <x:c r="G5" s="22"/>
    </x:row>
    <x:row r="6">
      <x:c r="A6" s="22" t="str">
        <x:v>Total Min Hours</x:v>
      </x:c>
      <x:c r="B6" s="24" t="n">
        <x:f>SUM('Feature Estimate'!G5:G23)</x:f>
        <x:v>295</x:v>
      </x:c>
      <x:c r="C6" s="22" t="str">
        <x:v>Sum of all feature minimums</x:v>
      </x:c>
      <x:c r="D6" s="22" t="str">
        <x:v>Feature Estimate G5:G23</x:v>
      </x:c>
      <x:c r="E6" s="22"/>
      <x:c r="F6" s="22"/>
      <x:c r="G6" s="22"/>
    </x:row>
    <x:row r="7">
      <x:c r="A7" s="22" t="str">
        <x:v>Total Max Hours</x:v>
      </x:c>
      <x:c r="B7" s="24" t="n">
        <x:f>SUM('Feature Estimate'!H5:H23)</x:f>
        <x:v>506</x:v>
      </x:c>
      <x:c r="C7" s="22" t="str">
        <x:v>Sum of all feature maximums</x:v>
      </x:c>
      <x:c r="D7" s="22" t="str">
        <x:v>Feature Estimate H5:H23</x:v>
      </x:c>
      <x:c r="E7" s="22"/>
      <x:c r="F7" s="22"/>
      <x:c r="G7" s="22"/>
    </x:row>
    <x:row r="8">
      <x:c r="A8" s="22" t="str">
        <x:v>Total Avg Hours</x:v>
      </x:c>
      <x:c r="B8" s="24" t="n">
        <x:f>SUM('Feature Estimate'!I5:I23)</x:f>
        <x:v>401</x:v>
      </x:c>
      <x:c r="C8" s="22" t="str">
        <x:v>Average planning estimate</x:v>
      </x:c>
      <x:c r="D8" s="22" t="str">
        <x:v>Feature Estimate I5:I23</x:v>
      </x:c>
      <x:c r="E8" s="22"/>
      <x:c r="F8" s="22"/>
      <x:c r="G8" s="22"/>
    </x:row>
    <x:row r="9">
      <x:c r="A9" s="22" t="str">
        <x:v>Suggested Team</x:v>
      </x:c>
      <x:c r="B9" s="22" t="str">
        <x:v>1 full-stack developer + 1 AI/full-stack support</x:v>
      </x:c>
      <x:c r="C9" s="22" t="str">
        <x:v>Can be adjusted based on budget/speed.</x:v>
      </x:c>
      <x:c r="D9" s="22" t="str"/>
      <x:c r="E9" s="22"/>
      <x:c r="F9" s="22"/>
      <x:c r="G9" s="22"/>
    </x:row>
    <x:row r="10">
      <x:c r="A10" s="22" t="str">
        <x:v>Indicative Duration</x:v>
      </x:c>
      <x:c r="B10" s="22" t="str">
        <x:v>5-7 weeks after discovery</x:v>
      </x:c>
      <x:c r="C10" s="22" t="str">
        <x:v>Depends on AI/layout complexity and feedback speed.</x:v>
      </x:c>
      <x:c r="D10" s="22" t="str"/>
      <x:c r="E10" s="22"/>
      <x:c r="F10" s="22"/>
      <x:c r="G10" s="22"/>
    </x:row>
    <x:row r="11">
      <x:c r="A11" s="22" t="str">
        <x:v>Phase 1 Boundary</x:v>
      </x:c>
      <x:c r="B11" s="22" t="str">
        <x:v>Concept support only</x:v>
      </x:c>
      <x:c r="C11" s="22" t="str">
        <x:v>Not final architectural, municipal, or QS certification.</x:v>
      </x:c>
      <x:c r="D11" s="22" t="str"/>
      <x:c r="E11" s="22"/>
      <x:c r="F11" s="22"/>
      <x:c r="G11" s="22"/>
    </x:row>
    <x:row r="12">
      <x:c r="A12" s="22"/>
      <x:c r="B12" s="22"/>
      <x:c r="C12" s="22"/>
      <x:c r="D12" s="22"/>
      <x:c r="E12" s="22"/>
      <x:c r="F12" s="22"/>
      <x:c r="G12" s="22"/>
    </x:row>
    <x:row r="13">
      <x:c r="A13" s="22"/>
      <x:c r="B13" s="22"/>
      <x:c r="C13" s="22"/>
      <x:c r="D13" s="22"/>
      <x:c r="E13" s="22"/>
      <x:c r="F13" s="22"/>
      <x:c r="G13" s="22"/>
    </x:row>
    <x:row r="14">
      <x:c r="A14" s="47" t="str">
        <x:v>Milestone</x:v>
      </x:c>
      <x:c r="B14" s="47" t="str">
        <x:v>Scope</x:v>
      </x:c>
      <x:c r="C14" s="47" t="str">
        <x:v>Output</x:v>
      </x:c>
      <x:c r="D14" s="47" t="str">
        <x:v>Min Hours</x:v>
      </x:c>
      <x:c r="E14" s="47" t="str">
        <x:v>Max Hours</x:v>
      </x:c>
      <x:c r="F14" s="47" t="str">
        <x:v>Avg Hours</x:v>
      </x:c>
      <x:c r="G14" s="47" t="str">
        <x:v>Duration</x:v>
      </x:c>
    </x:row>
    <x:row r="15">
      <x:c r="A15" s="22" t="str">
        <x:f>Milestones!A5</x:f>
        <x:v>M1 Discovery</x:v>
      </x:c>
      <x:c r="B15" s="22" t="str">
        <x:f>Milestones!B5</x:f>
        <x:v>Scope lock, field mapping, wireframes</x:v>
      </x:c>
      <x:c r="C15" s="22" t="str">
        <x:f>Milestones!C5</x:f>
        <x:v>Approved MVP scope + build roadmap</x:v>
      </x:c>
      <x:c r="D15" s="24" t="n">
        <x:f>Milestones!D5</x:f>
        <x:v>23</x:v>
      </x:c>
      <x:c r="E15" s="24" t="n">
        <x:f>Milestones!E5</x:f>
        <x:v>40</x:v>
      </x:c>
      <x:c r="F15" s="24" t="n">
        <x:f>Milestones!F5</x:f>
        <x:v>32</x:v>
      </x:c>
      <x:c r="G15" s="22" t="str">
        <x:f>Milestones!G5</x:f>
        <x:v>2-3 days</x:v>
      </x:c>
    </x:row>
    <x:row r="16">
      <x:c r="A16" s="22" t="str">
        <x:f>Milestones!A6</x:f>
        <x:v>M2 Base Platform</x:v>
      </x:c>
      <x:c r="B16" s="22" t="str">
        <x:f>Milestones!B6</x:f>
        <x:v>Auth, project dashboard, data room, database</x:v>
      </x:c>
      <x:c r="C16" s="22" t="str">
        <x:f>Milestones!C6</x:f>
        <x:v>Working project workspace</x:v>
      </x:c>
      <x:c r="D16" s="24" t="n">
        <x:f>Milestones!D6</x:f>
        <x:v>40</x:v>
      </x:c>
      <x:c r="E16" s="24" t="n">
        <x:f>Milestones!E6</x:f>
        <x:v>62</x:v>
      </x:c>
      <x:c r="F16" s="24" t="n">
        <x:f>Milestones!F6</x:f>
        <x:v>51</x:v>
      </x:c>
      <x:c r="G16" s="22" t="str">
        <x:f>Milestones!G6</x:f>
        <x:v>1-1.5 weeks</x:v>
      </x:c>
    </x:row>
    <x:row r="17">
      <x:c r="A17" s="22" t="str">
        <x:f>Milestones!A7</x:f>
        <x:v>M3 AI Intelligence</x:v>
      </x:c>
      <x:c r="B17" s="22" t="str">
        <x:f>Milestones!B7</x:f>
        <x:v>Document extraction, document Q&amp;A, brief builder</x:v>
      </x:c>
      <x:c r="C17" s="22" t="str">
        <x:f>Milestones!C7</x:f>
        <x:v>AI summaries + structured project brief</x:v>
      </x:c>
      <x:c r="D17" s="24" t="n">
        <x:f>Milestones!D7</x:f>
        <x:v>56</x:v>
      </x:c>
      <x:c r="E17" s="24" t="n">
        <x:f>Milestones!E7</x:f>
        <x:v>92</x:v>
      </x:c>
      <x:c r="F17" s="24" t="n">
        <x:f>Milestones!F7</x:f>
        <x:v>74</x:v>
      </x:c>
      <x:c r="G17" s="22" t="str">
        <x:f>Milestones!G7</x:f>
        <x:v>1-1.5 weeks</x:v>
      </x:c>
    </x:row>
    <x:row r="18">
      <x:c r="A18" s="22" t="str">
        <x:f>Milestones!A8</x:f>
        <x:v>M4 Concepts &amp; Cost</x:v>
      </x:c>
      <x:c r="B18" s="22" t="str">
        <x:f>Milestones!B8</x:f>
        <x:v>Site input, buildable envelope, layout concepts, style direction, cost range</x:v>
      </x:c>
      <x:c r="C18" s="22" t="str">
        <x:f>Milestones!C8</x:f>
        <x:v>2-3 concept options + costing</x:v>
      </x:c>
      <x:c r="D18" s="24" t="n">
        <x:f>Milestones!D8</x:f>
        <x:v>120</x:v>
      </x:c>
      <x:c r="E18" s="24" t="n">
        <x:f>Milestones!E8</x:f>
        <x:v>210</x:v>
      </x:c>
      <x:c r="F18" s="24" t="n">
        <x:f>Milestones!F8</x:f>
        <x:v>165</x:v>
      </x:c>
      <x:c r="G18" s="22" t="str">
        <x:f>Milestones!G8</x:f>
        <x:v>2-3 weeks</x:v>
      </x:c>
    </x:row>
    <x:row r="19">
      <x:c r="A19" s="22" t="str">
        <x:f>Milestones!A9</x:f>
        <x:v>M5 Export &amp; QA</x:v>
      </x:c>
      <x:c r="B19" s="22" t="str">
        <x:f>Milestones!B9</x:f>
        <x:v>PDF export, deployment, QA, feedback fixes</x:v>
      </x:c>
      <x:c r="C19" s="22" t="str">
        <x:f>Milestones!C9</x:f>
        <x:v>Live MVP + concept report</x:v>
      </x:c>
      <x:c r="D19" s="24" t="n">
        <x:f>Milestones!D9</x:f>
        <x:v>44</x:v>
      </x:c>
      <x:c r="E19" s="24" t="n">
        <x:f>Milestones!E9</x:f>
        <x:v>80</x:v>
      </x:c>
      <x:c r="F19" s="24" t="n">
        <x:f>Milestones!F9</x:f>
        <x:v>62</x:v>
      </x:c>
      <x:c r="G19" s="22" t="str">
        <x:f>Milestones!G9</x:f>
        <x:v>1 week</x:v>
      </x:c>
    </x:row>
  </x:sheetData>
  <x:pageMargins left="0.7" right="0.7" top="0.75" bottom="0.75" header="0.3" footer="0.3"/>
  <x:drawing xmlns:r="http://schemas.openxmlformats.org/officeDocument/2006/relationships" r:id="Rf08c916855984e9e"/>
  <x:tableParts count="1">
    <x:tablePart xmlns:r="http://schemas.openxmlformats.org/officeDocument/2006/relationships" r:id="R868108a79a5f490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42" hidden="0" customWidth="1"/>
    <x:col min="4" max="4" width="14" hidden="0" customWidth="1"/>
    <x:col min="5" max="5" width="18" hidden="0" customWidth="1"/>
    <x:col min="6" max="6" width="26" hidden="0" customWidth="1"/>
    <x:col min="7" max="7" width="11" hidden="0" customWidth="1"/>
    <x:col min="8" max="8" width="11" hidden="0" customWidth="1"/>
    <x:col min="9" max="9" width="11" hidden="0" customWidth="1"/>
    <x:col min="10" max="10" width="34" hidden="0" customWidth="1"/>
  </x:cols>
  <x:sheetData>
    <x:row r="1" ht="28" customHeight="1">
      <x:c r="A1" s="4" t="str">
        <x:v>AI Property Development MVP - Feature &amp; Hour Estimate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2" customHeight="1">
      <x:c r="A2" s="8" t="str">
        <x:v>Client-facing estimate. Planning ranges only; final quote should follow discovery.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>
      <x:c r="A4" s="14" t="str">
        <x:v>Area</x:v>
      </x:c>
      <x:c r="B4" s="14" t="str">
        <x:v>Feature</x:v>
      </x:c>
      <x:c r="C4" s="14" t="str">
        <x:v>Description</x:v>
      </x:c>
      <x:c r="D4" s="14" t="str">
        <x:v>Priority</x:v>
      </x:c>
      <x:c r="E4" s="14" t="str">
        <x:v>Phase</x:v>
      </x:c>
      <x:c r="F4" s="14" t="str">
        <x:v>Deliverable</x:v>
      </x:c>
      <x:c r="G4" s="14" t="str">
        <x:v>Min Hours</x:v>
      </x:c>
      <x:c r="H4" s="14" t="str">
        <x:v>Max Hours</x:v>
      </x:c>
      <x:c r="I4" s="14" t="str">
        <x:v>Avg Hours</x:v>
      </x:c>
      <x:c r="J4" s="14" t="str">
        <x:v>Notes</x:v>
      </x:c>
    </x:row>
    <x:row r="5">
      <x:c r="A5" s="22" t="str">
        <x:v>Discovery</x:v>
      </x:c>
      <x:c r="B5" s="22" t="str">
        <x:v>MVP scope lock</x:v>
      </x:c>
      <x:c r="C5" s="22" t="str">
        <x:v>Review current AI Studio app, confirm pilot use case, and decide what Phase 1 must prove.</x:v>
      </x:c>
      <x:c r="D5" s="22" t="str">
        <x:v>Must have</x:v>
      </x:c>
      <x:c r="E5" s="22" t="str">
        <x:v>M1 Discovery</x:v>
      </x:c>
      <x:c r="F5" s="22" t="str">
        <x:v>Approved MVP scope + roadmap</x:v>
      </x:c>
      <x:c r="G5" s="24" t="n">
        <x:v>8</x:v>
      </x:c>
      <x:c r="H5" s="24" t="n">
        <x:v>14</x:v>
      </x:c>
      <x:c r="I5" s="24" t="n">
        <x:f>ROUND(AVERAGE(G5:H5),0)</x:f>
        <x:v>11</x:v>
      </x:c>
      <x:c r="J5" s="22" t="str">
        <x:v>Best first paid milestone before full development.</x:v>
      </x:c>
    </x:row>
    <x:row r="6">
      <x:c r="A6" s="22" t="str">
        <x:v>Discovery</x:v>
      </x:c>
      <x:c r="B6" s="22" t="str">
        <x:v>Field mapping</x:v>
      </x:c>
      <x:c r="C6" s="22" t="str">
        <x:v>Define project, stand, document, and brief fields needed for the MVP.</x:v>
      </x:c>
      <x:c r="D6" s="22" t="str">
        <x:v>Must have</x:v>
      </x:c>
      <x:c r="E6" s="22" t="str">
        <x:v>M1 Discovery</x:v>
      </x:c>
      <x:c r="F6" s="22" t="str">
        <x:v>Field checklist</x:v>
      </x:c>
      <x:c r="G6" s="24" t="n">
        <x:v>5</x:v>
      </x:c>
      <x:c r="H6" s="24" t="n">
        <x:v>8</x:v>
      </x:c>
      <x:c r="I6" s="24" t="n">
        <x:f>ROUND(AVERAGE(G6:H6),0)</x:f>
        <x:v>7</x:v>
      </x:c>
      <x:c r="J6" s="22" t="str">
        <x:v>Prevents missed requirements later.</x:v>
      </x:c>
    </x:row>
    <x:row r="7">
      <x:c r="A7" s="22" t="str">
        <x:v>UX/UI</x:v>
      </x:c>
      <x:c r="B7" s="22" t="str">
        <x:v>MVP wireframes</x:v>
      </x:c>
      <x:c r="C7" s="22" t="str">
        <x:v>Design simple screens for dashboard, upload, brief builder, concept output, and reports.</x:v>
      </x:c>
      <x:c r="D7" s="22" t="str">
        <x:v>Must have</x:v>
      </x:c>
      <x:c r="E7" s="22" t="str">
        <x:v>M1 Discovery</x:v>
      </x:c>
      <x:c r="F7" s="22" t="str">
        <x:v>Wireframe view</x:v>
      </x:c>
      <x:c r="G7" s="24" t="n">
        <x:v>10</x:v>
      </x:c>
      <x:c r="H7" s="24" t="n">
        <x:v>18</x:v>
      </x:c>
      <x:c r="I7" s="24" t="n">
        <x:f>ROUND(AVERAGE(G7:H7),0)</x:f>
        <x:v>14</x:v>
      </x:c>
      <x:c r="J7" s="22" t="str">
        <x:v>Lightweight, not overdesigned.</x:v>
      </x:c>
    </x:row>
    <x:row r="8">
      <x:c r="A8" s="22" t="str">
        <x:v>Platform</x:v>
      </x:c>
      <x:c r="B8" s="22" t="str">
        <x:v>Authentication &amp; user setup</x:v>
      </x:c>
      <x:c r="C8" s="22" t="str">
        <x:v>Secure login and basic workspace access.</x:v>
      </x:c>
      <x:c r="D8" s="22" t="str">
        <x:v>Must have</x:v>
      </x:c>
      <x:c r="E8" s="22" t="str">
        <x:v>M2 Base Platform</x:v>
      </x:c>
      <x:c r="F8" s="22" t="str">
        <x:v>User accounts</x:v>
      </x:c>
      <x:c r="G8" s="24" t="n">
        <x:v>8</x:v>
      </x:c>
      <x:c r="H8" s="24" t="n">
        <x:v>12</x:v>
      </x:c>
      <x:c r="I8" s="24" t="n">
        <x:f>ROUND(AVERAGE(G8:H8),0)</x:f>
        <x:v>10</x:v>
      </x:c>
      <x:c r="J8" s="22" t="str">
        <x:v>Supabase or Clerk recommended.</x:v>
      </x:c>
    </x:row>
    <x:row r="9">
      <x:c r="A9" s="22" t="str">
        <x:v>Platform</x:v>
      </x:c>
      <x:c r="B9" s="22" t="str">
        <x:v>Project dashboard</x:v>
      </x:c>
      <x:c r="C9" s="22" t="str">
        <x:v>Create and manage property projects with status, summary, modules, and outputs.</x:v>
      </x:c>
      <x:c r="D9" s="22" t="str">
        <x:v>Must have</x:v>
      </x:c>
      <x:c r="E9" s="22" t="str">
        <x:v>M2 Base Platform</x:v>
      </x:c>
      <x:c r="F9" s="22" t="str">
        <x:v>Project workspace</x:v>
      </x:c>
      <x:c r="G9" s="24" t="n">
        <x:v>16</x:v>
      </x:c>
      <x:c r="H9" s="24" t="n">
        <x:v>26</x:v>
      </x:c>
      <x:c r="I9" s="24" t="n">
        <x:f>ROUND(AVERAGE(G9:H9),0)</x:f>
        <x:v>21</x:v>
      </x:c>
      <x:c r="J9" s="22" t="str">
        <x:v>Foundation for all future modules.</x:v>
      </x:c>
    </x:row>
    <x:row r="10">
      <x:c r="A10" s="22" t="str">
        <x:v>Platform</x:v>
      </x:c>
      <x:c r="B10" s="22" t="str">
        <x:v>Data room / file uploads</x:v>
      </x:c>
      <x:c r="C10" s="22" t="str">
        <x:v>Upload and organise PDFs, images, site plans, zoning docs, reports, and supporting files.</x:v>
      </x:c>
      <x:c r="D10" s="22" t="str">
        <x:v>Must have</x:v>
      </x:c>
      <x:c r="E10" s="22" t="str">
        <x:v>M2 Base Platform</x:v>
      </x:c>
      <x:c r="F10" s="22" t="str">
        <x:v>Document library</x:v>
      </x:c>
      <x:c r="G10" s="24" t="n">
        <x:v>16</x:v>
      </x:c>
      <x:c r="H10" s="24" t="n">
        <x:v>24</x:v>
      </x:c>
      <x:c r="I10" s="24" t="n">
        <x:f>ROUND(AVERAGE(G10:H10),0)</x:f>
        <x:v>20</x:v>
      </x:c>
      <x:c r="J10" s="22" t="str">
        <x:v>Object storage + metadata in database.</x:v>
      </x:c>
    </x:row>
    <x:row r="11">
      <x:c r="A11" s="22" t="str">
        <x:v>AI</x:v>
      </x:c>
      <x:c r="B11" s="22" t="str">
        <x:v>Document extraction</x:v>
      </x:c>
      <x:c r="C11" s="22" t="str">
        <x:v>Extract structured info from documents: property facts, rules, constraints, risks, and decisions.</x:v>
      </x:c>
      <x:c r="D11" s="22" t="str">
        <x:v>Must have</x:v>
      </x:c>
      <x:c r="E11" s="22" t="str">
        <x:v>M3 AI Intelligence</x:v>
      </x:c>
      <x:c r="F11" s="22" t="str">
        <x:v>AI summary + structured fields</x:v>
      </x:c>
      <x:c r="G11" s="24" t="n">
        <x:v>24</x:v>
      </x:c>
      <x:c r="H11" s="24" t="n">
        <x:v>38</x:v>
      </x:c>
      <x:c r="I11" s="24" t="n">
        <x:f>ROUND(AVERAGE(G11:H11),0)</x:f>
        <x:v>31</x:v>
      </x:c>
      <x:c r="J11" s="22" t="str">
        <x:v>Use LLM extraction + JSON schemas.</x:v>
      </x:c>
    </x:row>
    <x:row r="12">
      <x:c r="A12" s="22" t="str">
        <x:v>AI</x:v>
      </x:c>
      <x:c r="B12" s="22" t="str">
        <x:v>Project document chat</x:v>
      </x:c>
      <x:c r="C12" s="22" t="str">
        <x:v>Ask questions against uploaded project documents.</x:v>
      </x:c>
      <x:c r="D12" s="22" t="str">
        <x:v>Should have</x:v>
      </x:c>
      <x:c r="E12" s="22" t="str">
        <x:v>M3 AI Intelligence</x:v>
      </x:c>
      <x:c r="F12" s="22" t="str">
        <x:v>Project assistant</x:v>
      </x:c>
      <x:c r="G12" s="24" t="n">
        <x:v>14</x:v>
      </x:c>
      <x:c r="H12" s="24" t="n">
        <x:v>24</x:v>
      </x:c>
      <x:c r="I12" s="24" t="n">
        <x:f>ROUND(AVERAGE(G12:H12),0)</x:f>
        <x:v>19</x:v>
      </x:c>
      <x:c r="J12" s="22" t="str">
        <x:v>Optional if budget is tight.</x:v>
      </x:c>
    </x:row>
    <x:row r="13">
      <x:c r="A13" s="22" t="str">
        <x:v>Product</x:v>
      </x:c>
      <x:c r="B13" s="22" t="str">
        <x:v>Structured brief builder</x:v>
      </x:c>
      <x:c r="C13" s="22" t="str">
        <x:v>Guided form for bedrooms, bathrooms, floors, style, garage, patio/braai, priorities, and budget level.</x:v>
      </x:c>
      <x:c r="D13" s="22" t="str">
        <x:v>Must have</x:v>
      </x:c>
      <x:c r="E13" s="22" t="str">
        <x:v>M3 AI Intelligence</x:v>
      </x:c>
      <x:c r="F13" s="22" t="str">
        <x:v>Validated house/project brief</x:v>
      </x:c>
      <x:c r="G13" s="24" t="n">
        <x:v>18</x:v>
      </x:c>
      <x:c r="H13" s="24" t="n">
        <x:v>30</x:v>
      </x:c>
      <x:c r="I13" s="24" t="n">
        <x:f>ROUND(AVERAGE(G13:H13),0)</x:f>
        <x:v>24</x:v>
      </x:c>
      <x:c r="J13" s="22" t="str">
        <x:v>Critical for reliable concept output.</x:v>
      </x:c>
    </x:row>
    <x:row r="14">
      <x:c r="A14" s="22" t="str">
        <x:v>Site</x:v>
      </x:c>
      <x:c r="B14" s="22" t="str">
        <x:v>Stand/site input module</x:v>
      </x:c>
      <x:c r="C14" s="22" t="str">
        <x:v>Capture location, stand size, road/access side, orientation, contour notes, constraints, and manual site assumptions.</x:v>
      </x:c>
      <x:c r="D14" s="22" t="str">
        <x:v>Must have</x:v>
      </x:c>
      <x:c r="E14" s="22" t="str">
        <x:v>M4 Concepts &amp; Cost</x:v>
      </x:c>
      <x:c r="F14" s="22" t="str">
        <x:v>Site profile</x:v>
      </x:c>
      <x:c r="G14" s="24" t="n">
        <x:v>18</x:v>
      </x:c>
      <x:c r="H14" s="24" t="n">
        <x:v>30</x:v>
      </x:c>
      <x:c r="I14" s="24" t="n">
        <x:f>ROUND(AVERAGE(G14:H14),0)</x:f>
        <x:v>24</x:v>
      </x:c>
      <x:c r="J14" s="22" t="str">
        <x:v>Manual-first input is safest for MVP.</x:v>
      </x:c>
    </x:row>
    <x:row r="15">
      <x:c r="A15" s="22" t="str">
        <x:v>Site</x:v>
      </x:c>
      <x:c r="B15" s="22" t="str">
        <x:v>Buildable envelope v1</x:v>
      </x:c>
      <x:c r="C15" s="22" t="str">
        <x:v>Create simple constraint summary and visual placement assumptions from zoning/rules and user inputs.</x:v>
      </x:c>
      <x:c r="D15" s="22" t="str">
        <x:v>Must have</x:v>
      </x:c>
      <x:c r="E15" s="22" t="str">
        <x:v>M4 Concepts &amp; Cost</x:v>
      </x:c>
      <x:c r="F15" s="22" t="str">
        <x:v>Buildable-zone summary</x:v>
      </x:c>
      <x:c r="G15" s="24" t="n">
        <x:v>18</x:v>
      </x:c>
      <x:c r="H15" s="24" t="n">
        <x:v>32</x:v>
      </x:c>
      <x:c r="I15" s="24" t="n">
        <x:f>ROUND(AVERAGE(G15:H15),0)</x:f>
        <x:v>25</x:v>
      </x:c>
      <x:c r="J15" s="22" t="str">
        <x:v>Advanced geospatial automation later.</x:v>
      </x:c>
    </x:row>
    <x:row r="16">
      <x:c r="A16" s="22" t="str">
        <x:v>AI</x:v>
      </x:c>
      <x:c r="B16" s="22" t="str">
        <x:v>Concept generation workflow</x:v>
      </x:c>
      <x:c r="C16" s="22" t="str">
        <x:v>Generate 2-3 early layout strategies with rationale, pros/cons, and scoring.</x:v>
      </x:c>
      <x:c r="D16" s="22" t="str">
        <x:v>Must have</x:v>
      </x:c>
      <x:c r="E16" s="22" t="str">
        <x:v>M4 Concepts &amp; Cost</x:v>
      </x:c>
      <x:c r="F16" s="22" t="str">
        <x:v>Concept option cards</x:v>
      </x:c>
      <x:c r="G16" s="24" t="n">
        <x:v>30</x:v>
      </x:c>
      <x:c r="H16" s="24" t="n">
        <x:v>50</x:v>
      </x:c>
      <x:c r="I16" s="24" t="n">
        <x:f>ROUND(AVERAGE(G16:H16),0)</x:f>
        <x:v>40</x:v>
      </x:c>
      <x:c r="J16" s="22" t="str">
        <x:v>Core MVP differentiator.</x:v>
      </x:c>
    </x:row>
    <x:row r="17">
      <x:c r="A17" s="22" t="str">
        <x:v>Design</x:v>
      </x:c>
      <x:c r="B17" s="22" t="str">
        <x:v>Schematic layout output</x:v>
      </x:c>
      <x:c r="C17" s="22" t="str">
        <x:v>Show basic site/floor-plan concepts using SVG/canvas diagrams, labels, driveway, patio, and room zones.</x:v>
      </x:c>
      <x:c r="D17" s="22" t="str">
        <x:v>Must have</x:v>
      </x:c>
      <x:c r="E17" s="22" t="str">
        <x:v>M4 Concepts &amp; Cost</x:v>
      </x:c>
      <x:c r="F17" s="22" t="str">
        <x:v>Visual concept diagrams</x:v>
      </x:c>
      <x:c r="G17" s="24" t="n">
        <x:v>24</x:v>
      </x:c>
      <x:c r="H17" s="24" t="n">
        <x:v>44</x:v>
      </x:c>
      <x:c r="I17" s="24" t="n">
        <x:f>ROUND(AVERAGE(G17:H17),0)</x:f>
        <x:v>34</x:v>
      </x:c>
      <x:c r="J17" s="22" t="str">
        <x:v>Not full CAD drawings in MVP.</x:v>
      </x:c>
    </x:row>
    <x:row r="18">
      <x:c r="A18" s="22" t="str">
        <x:v>Design</x:v>
      </x:c>
      <x:c r="B18" s="22" t="str">
        <x:v>Exterior style direction</x:v>
      </x:c>
      <x:c r="C18" s="22" t="str">
        <x:v>Generate basic visual style direction, material notes, and render prompt packages.</x:v>
      </x:c>
      <x:c r="D18" s="22" t="str">
        <x:v>Should have</x:v>
      </x:c>
      <x:c r="E18" s="22" t="str">
        <x:v>M4 Concepts &amp; Cost</x:v>
      </x:c>
      <x:c r="F18" s="22" t="str">
        <x:v>Style/renders section</x:v>
      </x:c>
      <x:c r="G18" s="24" t="n">
        <x:v>12</x:v>
      </x:c>
      <x:c r="H18" s="24" t="n">
        <x:v>24</x:v>
      </x:c>
      <x:c r="I18" s="24" t="n">
        <x:f>ROUND(AVERAGE(G18:H18),0)</x:f>
        <x:v>18</x:v>
      </x:c>
      <x:c r="J18" s="22" t="str">
        <x:v>Optional for first launch.</x:v>
      </x:c>
    </x:row>
    <x:row r="19">
      <x:c r="A19" s="22" t="str">
        <x:v>Cost</x:v>
      </x:c>
      <x:c r="B19" s="22" t="str">
        <x:v>Rough cost estimator</x:v>
      </x:c>
      <x:c r="C19" s="22" t="str">
        <x:v>Estimate range using floor area, quality level, complexity factors, external works, and contingency.</x:v>
      </x:c>
      <x:c r="D19" s="22" t="str">
        <x:v>Must have</x:v>
      </x:c>
      <x:c r="E19" s="22" t="str">
        <x:v>M4 Concepts &amp; Cost</x:v>
      </x:c>
      <x:c r="F19" s="22" t="str">
        <x:v>Cost range + assumptions</x:v>
      </x:c>
      <x:c r="G19" s="24" t="n">
        <x:v>18</x:v>
      </x:c>
      <x:c r="H19" s="24" t="n">
        <x:v>30</x:v>
      </x:c>
      <x:c r="I19" s="24" t="n">
        <x:f>ROUND(AVERAGE(G19:H19),0)</x:f>
        <x:v>24</x:v>
      </x:c>
      <x:c r="J19" s="22" t="str">
        <x:v>Not final QS pricing.</x:v>
      </x:c>
    </x:row>
    <x:row r="20">
      <x:c r="A20" s="22" t="str">
        <x:v>Reports</x:v>
      </x:c>
      <x:c r="B20" s="22" t="str">
        <x:v>PDF concept pack</x:v>
      </x:c>
      <x:c r="C20" s="22" t="str">
        <x:v>Export project summary, brief, constraints, concept options, recommendation, and costing into a clean PDF.</x:v>
      </x:c>
      <x:c r="D20" s="22" t="str">
        <x:v>Must have</x:v>
      </x:c>
      <x:c r="E20" s="22" t="str">
        <x:v>M5 Export &amp; QA</x:v>
      </x:c>
      <x:c r="F20" s="22" t="str">
        <x:v>Downloadable report</x:v>
      </x:c>
      <x:c r="G20" s="24" t="n">
        <x:v>18</x:v>
      </x:c>
      <x:c r="H20" s="24" t="n">
        <x:v>32</x:v>
      </x:c>
      <x:c r="I20" s="24" t="n">
        <x:f>ROUND(AVERAGE(G20:H20),0)</x:f>
        <x:v>25</x:v>
      </x:c>
      <x:c r="J20" s="22" t="str">
        <x:v>Main shareable output.</x:v>
      </x:c>
    </x:row>
    <x:row r="21">
      <x:c r="A21" s="22" t="str">
        <x:v>Delivery</x:v>
      </x:c>
      <x:c r="B21" s="22" t="str">
        <x:v>Deployment</x:v>
      </x:c>
      <x:c r="C21" s="22" t="str">
        <x:v>Deploy MVP, configure environment, storage, database, and production settings.</x:v>
      </x:c>
      <x:c r="D21" s="22" t="str">
        <x:v>Must have</x:v>
      </x:c>
      <x:c r="E21" s="22" t="str">
        <x:v>M5 Export &amp; QA</x:v>
      </x:c>
      <x:c r="F21" s="22" t="str">
        <x:v>Live MVP</x:v>
      </x:c>
      <x:c r="G21" s="24" t="n">
        <x:v>10</x:v>
      </x:c>
      <x:c r="H21" s="24" t="n">
        <x:v>18</x:v>
      </x:c>
      <x:c r="I21" s="24" t="n">
        <x:f>ROUND(AVERAGE(G21:H21),0)</x:f>
        <x:v>14</x:v>
      </x:c>
      <x:c r="J21" s="22" t="str">
        <x:v>Vercel + managed database recommended.</x:v>
      </x:c>
    </x:row>
    <x:row r="22">
      <x:c r="A22" s="22" t="str">
        <x:v>Delivery</x:v>
      </x:c>
      <x:c r="B22" s="22" t="str">
        <x:v>QA &amp; feedback round</x:v>
      </x:c>
      <x:c r="C22" s="22" t="str">
        <x:v>Test workflows, fix core issues, and apply one feedback pass after review.</x:v>
      </x:c>
      <x:c r="D22" s="22" t="str">
        <x:v>Must have</x:v>
      </x:c>
      <x:c r="E22" s="22" t="str">
        <x:v>M5 Export &amp; QA</x:v>
      </x:c>
      <x:c r="F22" s="22" t="str">
        <x:v>Stabilised MVP</x:v>
      </x:c>
      <x:c r="G22" s="24" t="n">
        <x:v>16</x:v>
      </x:c>
      <x:c r="H22" s="24" t="n">
        <x:v>30</x:v>
      </x:c>
      <x:c r="I22" s="24" t="n">
        <x:f>ROUND(AVERAGE(G22:H22),0)</x:f>
        <x:v>23</x:v>
      </x:c>
      <x:c r="J22" s="22" t="str">
        <x:v>Keeps first launch reliable.</x:v>
      </x:c>
    </x:row>
    <x:row r="23">
      <x:c r="A23" s="22" t="str">
        <x:v>Delivery</x:v>
      </x:c>
      <x:c r="B23" s="22" t="str">
        <x:v>Project management &amp; communication</x:v>
      </x:c>
      <x:c r="C23" s="22" t="str">
        <x:v>Planning, check-ins, scope coordination, and delivery management.</x:v>
      </x:c>
      <x:c r="D23" s="22" t="str">
        <x:v>Must have</x:v>
      </x:c>
      <x:c r="E23" s="22" t="str">
        <x:v>All</x:v>
      </x:c>
      <x:c r="F23" s="22" t="str">
        <x:v>Smooth delivery</x:v>
      </x:c>
      <x:c r="G23" s="24" t="n">
        <x:v>12</x:v>
      </x:c>
      <x:c r="H23" s="24" t="n">
        <x:v>22</x:v>
      </x:c>
      <x:c r="I23" s="24" t="n">
        <x:f>ROUND(AVERAGE(G23:H23),0)</x:f>
        <x:v>17</x:v>
      </x:c>
      <x:c r="J23" s="22" t="str">
        <x:v>Can be folded into milestones.</x:v>
      </x:c>
    </x:row>
    <x:row r="24">
      <x:c r="G24" s="25"/>
      <x:c r="H24" s="25"/>
      <x:c r="I24" s="25"/>
    </x:row>
    <x:row r="25">
      <x:c r="G25" s="25"/>
      <x:c r="H25" s="25"/>
      <x:c r="I25" s="25"/>
    </x:row>
    <x:row r="26">
      <x:c r="G26" s="25"/>
      <x:c r="H26" s="25"/>
      <x:c r="I26" s="25"/>
    </x:row>
    <x:row r="27">
      <x:c r="G27" s="25"/>
      <x:c r="H27" s="25"/>
      <x:c r="I27" s="25"/>
    </x:row>
    <x:row r="28">
      <x:c r="G28" s="25"/>
      <x:c r="H28" s="25"/>
      <x:c r="I28" s="25"/>
    </x:row>
    <x:row r="29">
      <x:c r="G29" s="25"/>
      <x:c r="H29" s="25"/>
      <x:c r="I29" s="25"/>
    </x:row>
    <x:row r="30">
      <x:c r="G30" s="25"/>
      <x:c r="H30" s="25"/>
      <x:c r="I30" s="25"/>
    </x:row>
    <x:row r="31">
      <x:c r="G31" s="25"/>
      <x:c r="H31" s="25"/>
      <x:c r="I31" s="25"/>
    </x:row>
    <x:row r="32">
      <x:c r="G32" s="25"/>
      <x:c r="H32" s="25"/>
      <x:c r="I32" s="25"/>
    </x:row>
    <x:row r="33">
      <x:c r="G33" s="25"/>
      <x:c r="H33" s="25"/>
      <x:c r="I33" s="25"/>
    </x:row>
    <x:row r="34">
      <x:c r="G34" s="25"/>
      <x:c r="H34" s="25"/>
      <x:c r="I34" s="25"/>
    </x:row>
    <x:row r="35">
      <x:c r="G35" s="25"/>
      <x:c r="H35" s="25"/>
      <x:c r="I35" s="25"/>
    </x:row>
    <x:row r="36">
      <x:c r="G36" s="25"/>
      <x:c r="H36" s="25"/>
      <x:c r="I36" s="25"/>
    </x:row>
    <x:row r="37">
      <x:c r="G37" s="25"/>
      <x:c r="H37" s="25"/>
      <x:c r="I37" s="25"/>
    </x:row>
    <x:row r="38">
      <x:c r="G38" s="25"/>
      <x:c r="H38" s="25"/>
      <x:c r="I38" s="25"/>
    </x:row>
    <x:row r="39">
      <x:c r="G39" s="25"/>
      <x:c r="H39" s="25"/>
      <x:c r="I39" s="25"/>
    </x:row>
    <x:row r="40">
      <x:c r="G40" s="25"/>
      <x:c r="H40" s="25"/>
      <x:c r="I40" s="25"/>
    </x:row>
    <x:row r="41">
      <x:c r="G41" s="25"/>
      <x:c r="H41" s="25"/>
      <x:c r="I41" s="25"/>
    </x:row>
    <x:row r="42">
      <x:c r="G42" s="25"/>
      <x:c r="H42" s="25"/>
      <x:c r="I42" s="25"/>
    </x:row>
    <x:row r="43">
      <x:c r="G43" s="25"/>
      <x:c r="H43" s="25"/>
      <x:c r="I43" s="25"/>
    </x:row>
    <x:row r="44">
      <x:c r="G44" s="25"/>
      <x:c r="H44" s="25"/>
      <x:c r="I44" s="25"/>
    </x:row>
    <x:row r="45">
      <x:c r="G45" s="25"/>
      <x:c r="H45" s="25"/>
      <x:c r="I45" s="25"/>
    </x:row>
    <x:row r="46">
      <x:c r="G46" s="25"/>
      <x:c r="H46" s="25"/>
      <x:c r="I46" s="25"/>
    </x:row>
    <x:row r="47">
      <x:c r="G47" s="25"/>
      <x:c r="H47" s="25"/>
      <x:c r="I47" s="25"/>
    </x:row>
    <x:row r="48">
      <x:c r="G48" s="25"/>
      <x:c r="H48" s="25"/>
      <x:c r="I48" s="25"/>
    </x:row>
    <x:row r="49">
      <x:c r="G49" s="25"/>
      <x:c r="H49" s="25"/>
      <x:c r="I49" s="25"/>
    </x:row>
    <x:row r="50">
      <x:c r="G50" s="25"/>
      <x:c r="H50" s="25"/>
      <x:c r="I50" s="25"/>
    </x:row>
    <x:row r="51">
      <x:c r="G51" s="25"/>
      <x:c r="H51" s="25"/>
      <x:c r="I51" s="25"/>
    </x:row>
    <x:row r="52">
      <x:c r="G52" s="25"/>
      <x:c r="H52" s="25"/>
      <x:c r="I52" s="25"/>
    </x:row>
    <x:row r="53">
      <x:c r="G53" s="25"/>
      <x:c r="H53" s="25"/>
      <x:c r="I53" s="25"/>
    </x:row>
    <x:row r="54">
      <x:c r="G54" s="25"/>
      <x:c r="H54" s="25"/>
      <x:c r="I54" s="25"/>
    </x:row>
    <x:row r="55">
      <x:c r="G55" s="25"/>
      <x:c r="H55" s="25"/>
      <x:c r="I55" s="25"/>
    </x:row>
    <x:row r="56">
      <x:c r="G56" s="25"/>
      <x:c r="H56" s="25"/>
      <x:c r="I56" s="25"/>
    </x:row>
    <x:row r="57">
      <x:c r="G57" s="25"/>
      <x:c r="H57" s="25"/>
      <x:c r="I57" s="25"/>
    </x:row>
    <x:row r="58">
      <x:c r="G58" s="25"/>
      <x:c r="H58" s="25"/>
      <x:c r="I58" s="25"/>
    </x:row>
    <x:row r="59">
      <x:c r="G59" s="25"/>
      <x:c r="H59" s="25"/>
      <x:c r="I59" s="25"/>
    </x:row>
    <x:row r="60">
      <x:c r="G60" s="25"/>
      <x:c r="H60" s="25"/>
      <x:c r="I60" s="25"/>
    </x:row>
    <x:row r="61">
      <x:c r="G61" s="25"/>
      <x:c r="H61" s="25"/>
      <x:c r="I61" s="25"/>
    </x:row>
    <x:row r="62">
      <x:c r="G62" s="25"/>
      <x:c r="H62" s="25"/>
      <x:c r="I62" s="25"/>
    </x:row>
    <x:row r="63">
      <x:c r="G63" s="25"/>
      <x:c r="H63" s="25"/>
      <x:c r="I63" s="25"/>
    </x:row>
    <x:row r="64">
      <x:c r="G64" s="25"/>
      <x:c r="H64" s="25"/>
      <x:c r="I64" s="25"/>
    </x:row>
    <x:row r="65">
      <x:c r="G65" s="25"/>
      <x:c r="H65" s="25"/>
      <x:c r="I65" s="25"/>
    </x:row>
    <x:row r="66">
      <x:c r="G66" s="25"/>
      <x:c r="H66" s="25"/>
      <x:c r="I66" s="25"/>
    </x:row>
    <x:row r="67">
      <x:c r="G67" s="25"/>
      <x:c r="H67" s="25"/>
      <x:c r="I67" s="25"/>
    </x:row>
    <x:row r="68">
      <x:c r="G68" s="25"/>
      <x:c r="H68" s="25"/>
      <x:c r="I68" s="25"/>
    </x:row>
    <x:row r="69">
      <x:c r="G69" s="25"/>
      <x:c r="H69" s="25"/>
      <x:c r="I69" s="25"/>
    </x:row>
    <x:row r="70">
      <x:c r="G70" s="25"/>
      <x:c r="H70" s="25"/>
      <x:c r="I70" s="25"/>
    </x:row>
    <x:row r="71">
      <x:c r="G71" s="25"/>
      <x:c r="H71" s="25"/>
      <x:c r="I71" s="25"/>
    </x:row>
    <x:row r="72">
      <x:c r="G72" s="25"/>
      <x:c r="H72" s="25"/>
      <x:c r="I72" s="25"/>
    </x:row>
    <x:row r="73">
      <x:c r="G73" s="25"/>
      <x:c r="H73" s="25"/>
      <x:c r="I73" s="25"/>
    </x:row>
    <x:row r="74">
      <x:c r="G74" s="25"/>
      <x:c r="H74" s="25"/>
      <x:c r="I74" s="25"/>
    </x:row>
    <x:row r="75">
      <x:c r="G75" s="25"/>
      <x:c r="H75" s="25"/>
      <x:c r="I75" s="25"/>
    </x:row>
    <x:row r="76">
      <x:c r="G76" s="25"/>
      <x:c r="H76" s="25"/>
      <x:c r="I76" s="25"/>
    </x:row>
    <x:row r="77">
      <x:c r="G77" s="25"/>
      <x:c r="H77" s="25"/>
      <x:c r="I77" s="25"/>
    </x:row>
    <x:row r="78">
      <x:c r="G78" s="25"/>
      <x:c r="H78" s="25"/>
      <x:c r="I78" s="25"/>
    </x:row>
    <x:row r="79">
      <x:c r="G79" s="25"/>
      <x:c r="H79" s="25"/>
      <x:c r="I79" s="25"/>
    </x:row>
    <x:row r="80">
      <x:c r="G80" s="25"/>
      <x:c r="H80" s="25"/>
      <x:c r="I80" s="25"/>
    </x:row>
    <x:row r="81">
      <x:c r="G81" s="25"/>
      <x:c r="H81" s="25"/>
      <x:c r="I81" s="25"/>
    </x:row>
    <x:row r="82">
      <x:c r="G82" s="25"/>
      <x:c r="H82" s="25"/>
      <x:c r="I82" s="25"/>
    </x:row>
    <x:row r="83">
      <x:c r="G83" s="25"/>
      <x:c r="H83" s="25"/>
      <x:c r="I83" s="25"/>
    </x:row>
    <x:row r="84">
      <x:c r="G84" s="25"/>
      <x:c r="H84" s="25"/>
      <x:c r="I84" s="25"/>
    </x:row>
    <x:row r="85">
      <x:c r="G85" s="25"/>
      <x:c r="H85" s="25"/>
      <x:c r="I85" s="25"/>
    </x:row>
    <x:row r="86">
      <x:c r="G86" s="25"/>
      <x:c r="H86" s="25"/>
      <x:c r="I86" s="25"/>
    </x:row>
    <x:row r="87">
      <x:c r="G87" s="25"/>
      <x:c r="H87" s="25"/>
      <x:c r="I87" s="25"/>
    </x:row>
    <x:row r="88">
      <x:c r="G88" s="25"/>
      <x:c r="H88" s="25"/>
      <x:c r="I88" s="25"/>
    </x:row>
    <x:row r="89">
      <x:c r="G89" s="25"/>
      <x:c r="H89" s="25"/>
      <x:c r="I89" s="25"/>
    </x:row>
    <x:row r="90">
      <x:c r="G90" s="25"/>
      <x:c r="H90" s="25"/>
      <x:c r="I90" s="25"/>
    </x:row>
    <x:row r="91">
      <x:c r="G91" s="25"/>
      <x:c r="H91" s="25"/>
      <x:c r="I91" s="25"/>
    </x:row>
    <x:row r="92">
      <x:c r="G92" s="25"/>
      <x:c r="H92" s="25"/>
      <x:c r="I92" s="25"/>
    </x:row>
    <x:row r="93">
      <x:c r="G93" s="25"/>
      <x:c r="H93" s="25"/>
      <x:c r="I93" s="25"/>
    </x:row>
    <x:row r="94">
      <x:c r="G94" s="25"/>
      <x:c r="H94" s="25"/>
      <x:c r="I94" s="25"/>
    </x:row>
    <x:row r="95">
      <x:c r="G95" s="25"/>
      <x:c r="H95" s="25"/>
      <x:c r="I95" s="25"/>
    </x:row>
    <x:row r="96">
      <x:c r="G96" s="25"/>
      <x:c r="H96" s="25"/>
      <x:c r="I96" s="25"/>
    </x:row>
    <x:row r="97">
      <x:c r="G97" s="25"/>
      <x:c r="H97" s="25"/>
      <x:c r="I97" s="25"/>
    </x:row>
    <x:row r="98">
      <x:c r="G98" s="25"/>
      <x:c r="H98" s="25"/>
      <x:c r="I98" s="25"/>
    </x:row>
    <x:row r="99">
      <x:c r="G99" s="25"/>
      <x:c r="H99" s="25"/>
      <x:c r="I99" s="25"/>
    </x:row>
    <x:row r="100">
      <x:c r="G100" s="25"/>
      <x:c r="H100" s="25"/>
      <x:c r="I100" s="25"/>
    </x:row>
  </x:sheetData>
  <x:conditionalFormatting sqref="D5:D23">
    <x:cfRule type="expression" dxfId="0" priority="1">
      <x:formula>D5="Must have"</x:formula>
    </x:cfRule>
    <x:cfRule type="expression" dxfId="1" priority="2">
      <x:formula>D5="Should have"</x:formula>
    </x:cfRule>
  </x:conditionalFormatting>
  <x:dataValidations count="2">
    <x:dataValidation type="list" sqref="D5:D23">
      <x:formula1>"Must have,Should have,Could have,Later"</x:formula1>
    </x:dataValidation>
    <x:dataValidation type="list" sqref="E5:E23">
      <x:formula1>"M1 Discovery,M2 Base Platform,M3 AI Intelligence,M4 Concepts &amp; Cost,M5 Export &amp; QA,All"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e9c7d116fa486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32" hidden="0" customWidth="1"/>
    <x:col min="4" max="4" width="12" hidden="0" customWidth="1"/>
    <x:col min="5" max="5" width="12" hidden="0" customWidth="1"/>
    <x:col min="6" max="6" width="12" hidden="0" customWidth="1"/>
    <x:col min="7" max="7" width="18" hidden="0" customWidth="1"/>
  </x:cols>
  <x:sheetData>
    <x:row r="1" ht="28" customHeight="1">
      <x:c r="A1" s="4" t="str">
        <x:v>Milestone Plan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2" customHeight="1">
      <x:c r="A2" s="8" t="str">
        <x:v>Suggested delivery split after discovery approval.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>
      <x:c r="A4" s="14" t="str">
        <x:v>Milestone</x:v>
      </x:c>
      <x:c r="B4" s="14" t="str">
        <x:v>Scope</x:v>
      </x:c>
      <x:c r="C4" s="14" t="str">
        <x:v>Main Deliverable</x:v>
      </x:c>
      <x:c r="D4" s="14" t="str">
        <x:v>Min Hours</x:v>
      </x:c>
      <x:c r="E4" s="14" t="str">
        <x:v>Max Hours</x:v>
      </x:c>
      <x:c r="F4" s="14" t="str">
        <x:v>Avg Hours</x:v>
      </x:c>
      <x:c r="G4" s="14" t="str">
        <x:v>Indicative Duration</x:v>
      </x:c>
    </x:row>
    <x:row r="5">
      <x:c r="A5" s="20" t="str">
        <x:v>M1 Discovery</x:v>
      </x:c>
      <x:c r="B5" s="20" t="str">
        <x:v>Scope lock, field mapping, wireframes</x:v>
      </x:c>
      <x:c r="C5" s="20" t="str">
        <x:v>Approved MVP scope + build roadmap</x:v>
      </x:c>
      <x:c r="D5" s="34" t="n">
        <x:f>SUM('Feature Estimate'!G5:G7)</x:f>
        <x:v>23</x:v>
      </x:c>
      <x:c r="E5" s="34" t="n">
        <x:f>SUM('Feature Estimate'!H5:H7)</x:f>
        <x:v>40</x:v>
      </x:c>
      <x:c r="F5" s="34" t="n">
        <x:f>SUM('Feature Estimate'!I5:I7)</x:f>
        <x:v>32</x:v>
      </x:c>
      <x:c r="G5" s="20" t="str">
        <x:v>2-3 days</x:v>
      </x:c>
    </x:row>
    <x:row r="6">
      <x:c r="A6" s="20" t="str">
        <x:v>M2 Base Platform</x:v>
      </x:c>
      <x:c r="B6" s="20" t="str">
        <x:v>Auth, project dashboard, data room, database</x:v>
      </x:c>
      <x:c r="C6" s="20" t="str">
        <x:v>Working project workspace</x:v>
      </x:c>
      <x:c r="D6" s="34" t="n">
        <x:f>SUM('Feature Estimate'!G8:G10)</x:f>
        <x:v>40</x:v>
      </x:c>
      <x:c r="E6" s="34" t="n">
        <x:f>SUM('Feature Estimate'!H8:H10)</x:f>
        <x:v>62</x:v>
      </x:c>
      <x:c r="F6" s="34" t="n">
        <x:f>SUM('Feature Estimate'!I8:I10)</x:f>
        <x:v>51</x:v>
      </x:c>
      <x:c r="G6" s="20" t="str">
        <x:v>1-1.5 weeks</x:v>
      </x:c>
    </x:row>
    <x:row r="7">
      <x:c r="A7" s="20" t="str">
        <x:v>M3 AI Intelligence</x:v>
      </x:c>
      <x:c r="B7" s="20" t="str">
        <x:v>Document extraction, document Q&amp;A, brief builder</x:v>
      </x:c>
      <x:c r="C7" s="20" t="str">
        <x:v>AI summaries + structured project brief</x:v>
      </x:c>
      <x:c r="D7" s="34" t="n">
        <x:f>SUM('Feature Estimate'!G11:G13)</x:f>
        <x:v>56</x:v>
      </x:c>
      <x:c r="E7" s="34" t="n">
        <x:f>SUM('Feature Estimate'!H11:H13)</x:f>
        <x:v>92</x:v>
      </x:c>
      <x:c r="F7" s="34" t="n">
        <x:f>SUM('Feature Estimate'!I11:I13)</x:f>
        <x:v>74</x:v>
      </x:c>
      <x:c r="G7" s="20" t="str">
        <x:v>1-1.5 weeks</x:v>
      </x:c>
    </x:row>
    <x:row r="8">
      <x:c r="A8" s="20" t="str">
        <x:v>M4 Concepts &amp; Cost</x:v>
      </x:c>
      <x:c r="B8" s="20" t="str">
        <x:v>Site input, buildable envelope, layout concepts, style direction, cost range</x:v>
      </x:c>
      <x:c r="C8" s="20" t="str">
        <x:v>2-3 concept options + costing</x:v>
      </x:c>
      <x:c r="D8" s="34" t="n">
        <x:f>SUM('Feature Estimate'!G14:G19)</x:f>
        <x:v>120</x:v>
      </x:c>
      <x:c r="E8" s="34" t="n">
        <x:f>SUM('Feature Estimate'!H14:H19)</x:f>
        <x:v>210</x:v>
      </x:c>
      <x:c r="F8" s="34" t="n">
        <x:f>SUM('Feature Estimate'!I14:I19)</x:f>
        <x:v>165</x:v>
      </x:c>
      <x:c r="G8" s="20" t="str">
        <x:v>2-3 weeks</x:v>
      </x:c>
    </x:row>
    <x:row r="9">
      <x:c r="A9" s="20" t="str">
        <x:v>M5 Export &amp; QA</x:v>
      </x:c>
      <x:c r="B9" s="20" t="str">
        <x:v>PDF export, deployment, QA, feedback fixes</x:v>
      </x:c>
      <x:c r="C9" s="20" t="str">
        <x:v>Live MVP + concept report</x:v>
      </x:c>
      <x:c r="D9" s="34" t="n">
        <x:f>SUM('Feature Estimate'!G20:G22)</x:f>
        <x:v>44</x:v>
      </x:c>
      <x:c r="E9" s="34" t="n">
        <x:f>SUM('Feature Estimate'!H20:H22)</x:f>
        <x:v>80</x:v>
      </x:c>
      <x:c r="F9" s="34" t="n">
        <x:f>SUM('Feature Estimate'!I20:I22)</x:f>
        <x:v>62</x:v>
      </x:c>
      <x:c r="G9" s="20" t="str">
        <x:v>1 week</x:v>
      </x:c>
    </x:row>
    <x:row r="10">
      <x:c r="A10" s="20"/>
      <x:c r="B10" s="20"/>
      <x:c r="C10" s="20"/>
      <x:c r="D10" s="34"/>
      <x:c r="E10" s="34"/>
      <x:c r="F10" s="34"/>
      <x:c r="G10" s="20"/>
    </x:row>
    <x:row r="11">
      <x:c r="A11" s="30" t="str">
        <x:v>Cross-phase effort</x:v>
      </x:c>
      <x:c r="B11" s="30" t="str">
        <x:v>Project management &amp; communication</x:v>
      </x:c>
      <x:c r="C11" s="30" t="str">
        <x:v>Included in the total estimate separately as cross-phase effort.</x:v>
      </x:c>
      <x:c r="D11" s="34"/>
      <x:c r="E11" s="34"/>
      <x:c r="F11" s="34"/>
      <x:c r="G11" s="20"/>
    </x:row>
  </x:sheetData>
  <x:pageMargins left="0.7" right="0.7" top="0.75" bottom="0.75" header="0.3" footer="0.3"/>
  <x:tableParts count="1">
    <x:tablePart xmlns:r="http://schemas.openxmlformats.org/officeDocument/2006/relationships" r:id="Rb1047529854a458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48" hidden="0" customWidth="1"/>
  </x:cols>
  <x:sheetData>
    <x:row r="1" ht="28" customHeight="1">
      <x:c r="A1" s="4" t="str">
        <x:v>Assumptions &amp; Scope Boundaries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2" customHeight="1">
      <x:c r="A2" s="8" t="str">
        <x:v>Use this to keep the MVP conversation safe and clear.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>
      <x:c r="A4" s="14" t="str">
        <x:v>Category</x:v>
      </x:c>
      <x:c r="B4" s="14" t="str">
        <x:v>Included in MVP</x:v>
      </x:c>
      <x:c r="C4" s="14" t="str">
        <x:v>Held for Later</x:v>
      </x:c>
    </x:row>
    <x:row r="5">
      <x:c r="A5" s="50" t="str">
        <x:v>Architecture / layouts</x:v>
      </x:c>
      <x:c r="B5" s="20" t="str">
        <x:v>Early-stage schematic site/floor-plan concepts, logic, scores, and rationale.</x:v>
      </x:c>
      <x:c r="C5" s="20" t="str">
        <x:v>Final architectural drawings, structural design, municipal-ready packages, CAD/BIM automation.</x:v>
      </x:c>
    </x:row>
    <x:row r="6">
      <x:c r="A6" s="50" t="str">
        <x:v>Site/geospatial</x:v>
      </x:c>
      <x:c r="B6" s="20" t="str">
        <x:v>Manual-first stand/site inputs with uploaded documents and basic visual assumptions.</x:v>
      </x:c>
      <x:c r="C6" s="20" t="str">
        <x:v>Fully automated survey/CAD/KML parsing, terrain mesh generation, advanced GIS layers.</x:v>
      </x:c>
    </x:row>
    <x:row r="7">
      <x:c r="A7" s="50" t="str">
        <x:v>Document intelligence</x:v>
      </x:c>
      <x:c r="B7" s="20" t="str">
        <x:v>AI summary, extracted constraints, zoning/rules notes, project facts, document Q&amp;A.</x:v>
      </x:c>
      <x:c r="C7" s="20" t="str">
        <x:v>Legal certification, guaranteed compliance decisions, automatic municipal approvals.</x:v>
      </x:c>
    </x:row>
    <x:row r="8">
      <x:c r="A8" s="50" t="str">
        <x:v>Costing</x:v>
      </x:c>
      <x:c r="B8" s="20" t="str">
        <x:v>Rough cost range using formula-based assumptions and complexity multipliers.</x:v>
      </x:c>
      <x:c r="C8" s="20" t="str">
        <x:v>Final QS BOQ, supplier pricing, procurement, or guaranteed construction budget.</x:v>
      </x:c>
    </x:row>
    <x:row r="9">
      <x:c r="A9" s="50" t="str">
        <x:v>Visuals</x:v>
      </x:c>
      <x:c r="B9" s="20" t="str">
        <x:v>Concept visuals, material/style direction, optional render prompt workflow.</x:v>
      </x:c>
      <x:c r="C9" s="20" t="str">
        <x:v>Photorealistic final marketing renders or detailed 3D architectural model.</x:v>
      </x:c>
    </x:row>
    <x:row r="10">
      <x:c r="A10" s="50" t="str">
        <x:v>Estate mode</x:v>
      </x:c>
      <x:c r="B10" s="20" t="str">
        <x:v>Pilot can support one stand/spec-house use case.</x:v>
      </x:c>
      <x:c r="C10" s="20" t="str">
        <x:v>Full estate masterplan mode, stand categorisation, repeatable house-type optimisation.</x:v>
      </x:c>
    </x:row>
    <x:row r="11">
      <x:c r="A11" s="50" t="str">
        <x:v>Client inputs</x:v>
      </x:c>
      <x:c r="B11" s="20" t="str">
        <x:v>One pilot project/stand, available documents, desired output format, feedback on generated concepts.</x:v>
      </x:c>
      <x:c r="C11" s="20" t="str">
        <x:v>The team cannot infer missing legal/survey details without client-provided material.</x:v>
      </x:c>
    </x:row>
  </x:sheetData>
  <x:pageMargins left="0.7" right="0.7" top="0.75" bottom="0.75" header="0.3" footer="0.3"/>
  <x:tableParts count="1">
    <x:tablePart xmlns:r="http://schemas.openxmlformats.org/officeDocument/2006/relationships" r:id="R73ecfa378cda4568"/>
  </x:tableParts>
</x:worksheet>
</file>